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L 4NE1 Gen4" sheetId="1" state="visible" r:id="rId3"/>
  </sheets>
  <definedNames>
    <definedName function="false" hidden="true" localSheetId="0" name="_xlnm._FilterDatabase" vbProcedure="false">'OPL 4NE1 Gen4'!$A$7:$I$36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<sst xmlns="http://schemas.openxmlformats.org/spreadsheetml/2006/main" count="167" uniqueCount="74">
  <si>
    <t xml:space="preserve">OPL – Open Point List | 4NE1 Gen4 Humanoid</t>
  </si>
  <si>
    <t xml:space="preserve">Quelle: Meeting-Notizen Mechanik-Review (21.09.2026) + Ergaenzungen David Rybinski · Stand: 21.09.2026</t>
  </si>
  <si>
    <t xml:space="preserve">Gesamt offene Punkte</t>
  </si>
  <si>
    <t xml:space="preserve">Prio Hoch</t>
  </si>
  <si>
    <t xml:space="preserve">Prio Mittel</t>
  </si>
  <si>
    <t xml:space="preserve">Prio Niedrig</t>
  </si>
  <si>
    <t xml:space="preserve">Status Offen</t>
  </si>
  <si>
    <t xml:space="preserve">Status Erledigt</t>
  </si>
  <si>
    <t xml:space="preserve">Legende:</t>
  </si>
  <si>
    <t xml:space="preserve">Gelbe Zellen (Verantwortlicher/Bis wann/Status) bitte pflegen</t>
  </si>
  <si>
    <t xml:space="preserve">Nr</t>
  </si>
  <si>
    <t xml:space="preserve">Bereich</t>
  </si>
  <si>
    <t xml:space="preserve">Thema/Aufgabe</t>
  </si>
  <si>
    <t xml:space="preserve">Prio</t>
  </si>
  <si>
    <t xml:space="preserve">Verantwortlicher</t>
  </si>
  <si>
    <t xml:space="preserve">Bis wann</t>
  </si>
  <si>
    <t xml:space="preserve">Status</t>
  </si>
  <si>
    <t xml:space="preserve">To Do</t>
  </si>
  <si>
    <t xml:space="preserve">Bild</t>
  </si>
  <si>
    <t xml:space="preserve">Hardware/Mechanik</t>
  </si>
  <si>
    <t xml:space="preserve">Schrauben</t>
  </si>
  <si>
    <t xml:space="preserve">Hoch</t>
  </si>
  <si>
    <t xml:space="preserve">Offen</t>
  </si>
  <si>
    <t xml:space="preserve">Pruefen, ob Biegung/Kerbenbildung bei Stossbelastung am minimal ueberstehenden Lager auftritt; Schraubenverbindung nachrechnen.</t>
  </si>
  <si>
    <t xml:space="preserve">Alle Schraubengroessen durchrechnen und hinterfragen; M4-Schrauben (No-Go) durch geeignete Groesse ersetzen.</t>
  </si>
  <si>
    <t xml:space="preserve">Mittel</t>
  </si>
  <si>
    <t xml:space="preserve">Schraubenanzahl je Aktuator berechnen; Optimierung (z. B. jede zweite Schraube) bewerten.</t>
  </si>
  <si>
    <t xml:space="preserve">Dehnschraube fuer Shell-Befestigung auslegen – keine Scherbelastung zulaessig; Schraubensicherung (Nord-Lock) pruefen.</t>
  </si>
  <si>
    <t xml:space="preserve">Material</t>
  </si>
  <si>
    <t xml:space="preserve">Material aller angeschraubten Shells challengen und Festigkeitsnachweis erbringen.</t>
  </si>
  <si>
    <t xml:space="preserve">Simulation/Berechnung</t>
  </si>
  <si>
    <t xml:space="preserve">Simulation</t>
  </si>
  <si>
    <t xml:space="preserve">Drehmoment/Leistung aller Aktuatoren fuer definierte Use Cases inkl. Temperaturverhalten dokumentieren und simulieren.</t>
  </si>
  <si>
    <t xml:space="preserve">FEM/FEA fuer relevante Strukturteile durchfuehren (bisher ueberwiegend nach Bauchgefuehl konstruiert).</t>
  </si>
  <si>
    <t xml:space="preserve">Gleichteile</t>
  </si>
  <si>
    <t xml:space="preserve">Welche Teile sind aktuell KEINE Gleichteile (u. a. Schienbein gespiegelt)? Konzept glattziehen, um doppelte Druckgusskosten zu vermeiden.</t>
  </si>
  <si>
    <t xml:space="preserve">Elektrik/Elektronik</t>
  </si>
  <si>
    <t xml:space="preserve">Elektrik</t>
  </si>
  <si>
    <t xml:space="preserve">Marcel Vinius</t>
  </si>
  <si>
    <t xml:space="preserve">Steckerfreigaenge/Positionen abstimmen, Kollisionspruefung im CAD mit Gotech; eigene Steckerentwicklung (Norm-Pin zu lang, Kabelabgang ungünstig).</t>
  </si>
  <si>
    <t xml:space="preserve">Zugentlastung mechanisch statt Klebepads vorsehen; Poka Yoke fuer Elektrik/Mechanik definieren (Fehlmontage vermeiden).</t>
  </si>
  <si>
    <t xml:space="preserve">Montage</t>
  </si>
  <si>
    <t xml:space="preserve">Pads fehlen noch – Montageart spezifizieren (nicht kleben, falls Schraubenzugang benoetigt wird); Zugang sicherstellen, Designintegration klaeren.</t>
  </si>
  <si>
    <t xml:space="preserve">Berechnung</t>
  </si>
  <si>
    <t xml:space="preserve">Reichweiten und typische Bewegungen (z. B. Arm zur gegenueberliegenden Schulter) pruefen.</t>
  </si>
  <si>
    <t xml:space="preserve">Passung</t>
  </si>
  <si>
    <t xml:space="preserve">Abstand am kritischen Bereich pruefen (Gefahr "auf Block"); Anpassungsvorschlag inkl. Radius/Kollision erstellen.</t>
  </si>
  <si>
    <t xml:space="preserve">Hardstop</t>
  </si>
  <si>
    <t xml:space="preserve">Hardstop definieren und Simulation fuer Lastfall "Schraube reisst" durchfuehren.</t>
  </si>
  <si>
    <t xml:space="preserve">Thermik</t>
  </si>
  <si>
    <t xml:space="preserve">Konzept zur thermischen Kopplung/Waermeabfuhr ausarbeiten und simulieren; Kamerabelueftung (Helix-Kamera) sicherstellen.</t>
  </si>
  <si>
    <t xml:space="preserve">Lagerung</t>
  </si>
  <si>
    <t xml:space="preserve">Lager in eine Gehaeusehaelfte verlegen (statt Sprengring in zwei Haelften); Verformungsrisiko Innenring eliminieren.</t>
  </si>
  <si>
    <t xml:space="preserve">Wie sind Toleranzen aktuell geregelt (G7/K-Passung, Sackloch vs. Durchgang)? Verliersicherung definieren.</t>
  </si>
  <si>
    <t xml:space="preserve">Niedrig</t>
  </si>
  <si>
    <t xml:space="preserve">Einheitliches Zentrier-/Passungskonzept dokumentieren (Zentrierhuelsen vs. Motorpassungen) – bisher kein roter Faden.</t>
  </si>
  <si>
    <t xml:space="preserve">Montage/Fertigung</t>
  </si>
  <si>
    <t xml:space="preserve">Montagereihenfolge (Massembly-Schritte) detailliert dokumentieren; Zugaenglichkeit aller Komponenten pruefen.</t>
  </si>
  <si>
    <t xml:space="preserve">Eignung fuer Hot-Swap unter Last pruefen (fruehere Kontakte "abgeraucht" – Brandgefahr).</t>
  </si>
  <si>
    <t xml:space="preserve">Aufhaengung</t>
  </si>
  <si>
    <t xml:space="preserve">Oesen wirken duenn – Festigkeitsrechnung fuer Aufhaengung durchfuehren (Zugkraft &gt; 120 kg); zusaetzlich klaeren, ob eine Bajonett-Loesung zum Loesen/Loslassen des Gehaenges vorgesehen ist.</t>
  </si>
  <si>
    <t xml:space="preserve">CAD</t>
  </si>
  <si>
    <t xml:space="preserve">IMU, Smartlink, Kondensatoren und SSD-Karte im CAD-Modell lokalisieren bzw. ergaenzen.</t>
  </si>
  <si>
    <t xml:space="preserve">Federkraft berechnen; Uebereinstimmung mit Bewegungsradius des Kopfes sicherstellen (Federmontage aktuell kritisch).</t>
  </si>
  <si>
    <t xml:space="preserve">25.09.2026</t>
  </si>
  <si>
    <t xml:space="preserve">Alle Bauteile auf Montagefaehigkeit pruefen.</t>
  </si>
  <si>
    <t xml:space="preserve">Entscheidung zwischen Tischmontage (horizontal) und haengender Montage treffen.</t>
  </si>
  <si>
    <t xml:space="preserve">Kollision</t>
  </si>
  <si>
    <t xml:space="preserve">Kollision am Bein pruefen – 2 Bilder von Thorsten als Referenz beilegen/dokumentieren.</t>
  </si>
  <si>
    <t xml:space="preserve">s. Anhang Thorsten (2 Bilder)</t>
  </si>
  <si>
    <t xml:space="preserve">Kollision am Kuehler und an den Kuehlstuetzen pruefen.</t>
  </si>
  <si>
    <t xml:space="preserve">Pruefen, ob eine Vorrichtung fuer die Montage von Beinen und Armen erstellt werden soll.</t>
  </si>
  <si>
    <t xml:space="preserve">Design</t>
  </si>
  <si>
    <t xml:space="preserve">Design-Aesthetik/Proportionen (Beine bis Huefte) frueh mit Industriedesign abstimmen; Risiko bei enger Bekleidung (Konturen) beruecksichtigen.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</si>
</sst>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73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B3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EF2F6"/>
        <bgColor rgb="FFFDEBEB"/>
      </patternFill>
    </fill>
    <fill>
      <patternFill patternType="solid">
        <fgColor rgb="FF2B3A4A"/>
        <bgColor rgb="FF1F2733"/>
      </patternFill>
    </fill>
    <fill>
      <patternFill patternType="solid">
        <fgColor rgb="FFF4C7C3"/>
        <bgColor rgb="FFD0D5DA"/>
      </patternFill>
    </fill>
    <fill>
      <patternFill patternType="solid">
        <fgColor rgb="FFFFFDE7"/>
        <bgColor rgb="FFFFFFFF"/>
      </patternFill>
    </fill>
    <fill>
      <patternFill patternType="solid">
        <fgColor rgb="FFFDEBEB"/>
        <bgColor rgb="FFEEF2F6"/>
      </patternFill>
    </fill>
    <fill>
      <patternFill patternType="solid">
        <fgColor rgb="FFFCE8B2"/>
        <bgColor rgb="FFFDEBEB"/>
      </patternFill>
    </fill>
    <fill>
      <patternFill patternType="solid">
        <fgColor rgb="FFC6E5C3"/>
        <bgColor rgb="FFD0D5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3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5C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DEB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EF2F6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EB"/>
      <rgbColor rgb="FFC6E5C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F2733"/>
      <rgbColor rgb="FF993300"/>
      <rgbColor rgb="FF993366"/>
      <rgbColor rgb="FF333399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60"/>
    <col collapsed="false" customWidth="true" hidden="false" outlineLevel="0" max="9" min="9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</row>
    <row r="5" customFormat="false" ht="15" hidden="false" customHeight="false" outlineLevel="0" collapsed="false">
      <c r="A5" s="5" t="n">
        <f aca="false">COUNTA(A8:A36)</f>
        <v>29</v>
      </c>
      <c r="B5" s="5" t="n">
        <f aca="false">COUNTIF(D8:D36,"Hoch")</f>
        <v>12</v>
      </c>
      <c r="C5" s="5" t="n">
        <f aca="false">COUNTIF(D8:D36,"Mittel")</f>
        <v>15</v>
      </c>
      <c r="D5" s="5" t="n">
        <f aca="false">COUNTIF(D8:D36,"Niedrig")</f>
        <v>2</v>
      </c>
      <c r="E5" s="5" t="n">
        <f aca="false">COUNTIF(G8:G36,"Offen")</f>
        <v>29</v>
      </c>
      <c r="F5" s="5" t="n">
        <f aca="false">COUNTIF(G8:G36,"Erledigt")</f>
        <v>0</v>
      </c>
      <c r="H5" s="2" t="s">
        <v>9</v>
      </c>
      <c r="I5" s="2"/>
    </row>
    <row r="7" customFormat="false" ht="21.75" hidden="false" customHeight="true" outlineLevel="0" collapsed="false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6" t="s">
        <v>18</v>
      </c>
    </row>
    <row r="8" customFormat="false" ht="31.5" hidden="false" customHeight="true" outlineLevel="0" collapsed="false">
      <c r="A8" s="7" t="n">
        <v>1</v>
      </c>
      <c r="B8" s="8" t="s">
        <v>19</v>
      </c>
      <c r="C8" s="8" t="s">
        <v>20</v>
      </c>
      <c r="D8" s="9" t="s">
        <v>21</v>
      </c>
      <c r="E8" s="10"/>
      <c r="F8" s="10"/>
      <c r="G8" s="11" t="s">
        <v>22</v>
      </c>
      <c r="H8" s="8" t="s">
        <v>23</v>
      </c>
      <c r="I8" s="8"/>
    </row>
    <row r="9" customFormat="false" ht="31.5" hidden="false" customHeight="true" outlineLevel="0" collapsed="false">
      <c r="A9" s="7" t="n">
        <v>2</v>
      </c>
      <c r="B9" s="8" t="s">
        <v>19</v>
      </c>
      <c r="C9" s="8" t="s">
        <v>20</v>
      </c>
      <c r="D9" s="9" t="s">
        <v>21</v>
      </c>
      <c r="E9" s="10"/>
      <c r="F9" s="10"/>
      <c r="G9" s="11" t="s">
        <v>22</v>
      </c>
      <c r="H9" s="8" t="s">
        <v>24</v>
      </c>
      <c r="I9" s="8"/>
    </row>
    <row r="10" customFormat="false" ht="31.5" hidden="false" customHeight="true" outlineLevel="0" collapsed="false">
      <c r="A10" s="7" t="n">
        <v>3</v>
      </c>
      <c r="B10" s="8" t="s">
        <v>19</v>
      </c>
      <c r="C10" s="8" t="s">
        <v>20</v>
      </c>
      <c r="D10" s="12" t="s">
        <v>25</v>
      </c>
      <c r="E10" s="10"/>
      <c r="F10" s="10"/>
      <c r="G10" s="11" t="s">
        <v>22</v>
      </c>
      <c r="H10" s="8" t="s">
        <v>26</v>
      </c>
      <c r="I10" s="8"/>
    </row>
    <row r="11" customFormat="false" ht="31.5" hidden="false" customHeight="true" outlineLevel="0" collapsed="false">
      <c r="A11" s="7" t="n">
        <v>4</v>
      </c>
      <c r="B11" s="8" t="s">
        <v>19</v>
      </c>
      <c r="C11" s="8" t="s">
        <v>20</v>
      </c>
      <c r="D11" s="9" t="s">
        <v>21</v>
      </c>
      <c r="E11" s="10"/>
      <c r="F11" s="10"/>
      <c r="G11" s="11" t="s">
        <v>22</v>
      </c>
      <c r="H11" s="8" t="s">
        <v>27</v>
      </c>
      <c r="I11" s="8"/>
    </row>
    <row r="12" customFormat="false" ht="31.5" hidden="false" customHeight="true" outlineLevel="0" collapsed="false">
      <c r="A12" s="7" t="n">
        <v>5</v>
      </c>
      <c r="B12" s="8" t="s">
        <v>19</v>
      </c>
      <c r="C12" s="8" t="s">
        <v>28</v>
      </c>
      <c r="D12" s="9" t="s">
        <v>21</v>
      </c>
      <c r="E12" s="10"/>
      <c r="F12" s="10"/>
      <c r="G12" s="11" t="s">
        <v>22</v>
      </c>
      <c r="H12" s="8" t="s">
        <v>29</v>
      </c>
      <c r="I12" s="8"/>
    </row>
    <row r="13" customFormat="false" ht="31.5" hidden="false" customHeight="true" outlineLevel="0" collapsed="false">
      <c r="A13" s="7" t="n">
        <v>6</v>
      </c>
      <c r="B13" s="8" t="s">
        <v>30</v>
      </c>
      <c r="C13" s="8" t="s">
        <v>31</v>
      </c>
      <c r="D13" s="9" t="s">
        <v>21</v>
      </c>
      <c r="E13" s="10"/>
      <c r="F13" s="10"/>
      <c r="G13" s="11" t="s">
        <v>22</v>
      </c>
      <c r="H13" s="8" t="s">
        <v>32</v>
      </c>
      <c r="I13" s="8"/>
    </row>
    <row r="14" customFormat="false" ht="31.5" hidden="false" customHeight="true" outlineLevel="0" collapsed="false">
      <c r="A14" s="7" t="n">
        <v>7</v>
      </c>
      <c r="B14" s="8" t="s">
        <v>30</v>
      </c>
      <c r="C14" s="8" t="s">
        <v>31</v>
      </c>
      <c r="D14" s="9" t="s">
        <v>21</v>
      </c>
      <c r="E14" s="10"/>
      <c r="F14" s="10"/>
      <c r="G14" s="11" t="s">
        <v>22</v>
      </c>
      <c r="H14" s="8" t="s">
        <v>33</v>
      </c>
      <c r="I14" s="8"/>
    </row>
    <row r="15" customFormat="false" ht="31.5" hidden="false" customHeight="true" outlineLevel="0" collapsed="false">
      <c r="A15" s="7" t="n">
        <v>8</v>
      </c>
      <c r="B15" s="8" t="s">
        <v>19</v>
      </c>
      <c r="C15" s="8" t="s">
        <v>34</v>
      </c>
      <c r="D15" s="9" t="s">
        <v>21</v>
      </c>
      <c r="E15" s="10"/>
      <c r="F15" s="10"/>
      <c r="G15" s="11" t="s">
        <v>22</v>
      </c>
      <c r="H15" s="8" t="s">
        <v>35</v>
      </c>
      <c r="I15" s="8"/>
    </row>
    <row r="16" customFormat="false" ht="31.5" hidden="false" customHeight="true" outlineLevel="0" collapsed="false">
      <c r="A16" s="7" t="n">
        <v>9</v>
      </c>
      <c r="B16" s="8" t="s">
        <v>36</v>
      </c>
      <c r="C16" s="8" t="s">
        <v>37</v>
      </c>
      <c r="D16" s="12" t="s">
        <v>25</v>
      </c>
      <c r="E16" s="8" t="s">
        <v>38</v>
      </c>
      <c r="F16" s="10"/>
      <c r="G16" s="11" t="s">
        <v>22</v>
      </c>
      <c r="H16" s="8" t="s">
        <v>39</v>
      </c>
      <c r="I16" s="8"/>
    </row>
    <row r="17" customFormat="false" ht="31.5" hidden="false" customHeight="true" outlineLevel="0" collapsed="false">
      <c r="A17" s="7" t="n">
        <v>10</v>
      </c>
      <c r="B17" s="8" t="s">
        <v>19</v>
      </c>
      <c r="C17" s="8" t="s">
        <v>37</v>
      </c>
      <c r="D17" s="12" t="s">
        <v>25</v>
      </c>
      <c r="E17" s="10"/>
      <c r="F17" s="10"/>
      <c r="G17" s="11" t="s">
        <v>22</v>
      </c>
      <c r="H17" s="8" t="s">
        <v>40</v>
      </c>
      <c r="I17" s="8"/>
    </row>
    <row r="18" customFormat="false" ht="31.5" hidden="false" customHeight="true" outlineLevel="0" collapsed="false">
      <c r="A18" s="7" t="n">
        <v>11</v>
      </c>
      <c r="B18" s="8" t="s">
        <v>19</v>
      </c>
      <c r="C18" s="8" t="s">
        <v>41</v>
      </c>
      <c r="D18" s="12" t="s">
        <v>25</v>
      </c>
      <c r="E18" s="10"/>
      <c r="F18" s="10"/>
      <c r="G18" s="11" t="s">
        <v>22</v>
      </c>
      <c r="H18" s="8" t="s">
        <v>42</v>
      </c>
      <c r="I18" s="8"/>
    </row>
    <row r="19" customFormat="false" ht="31.5" hidden="false" customHeight="true" outlineLevel="0" collapsed="false">
      <c r="A19" s="7" t="n">
        <v>12</v>
      </c>
      <c r="B19" s="8" t="s">
        <v>19</v>
      </c>
      <c r="C19" s="8" t="s">
        <v>43</v>
      </c>
      <c r="D19" s="12" t="s">
        <v>25</v>
      </c>
      <c r="E19" s="10"/>
      <c r="F19" s="10"/>
      <c r="G19" s="11" t="s">
        <v>22</v>
      </c>
      <c r="H19" s="8" t="s">
        <v>44</v>
      </c>
      <c r="I19" s="8"/>
    </row>
    <row r="20" customFormat="false" ht="31.5" hidden="false" customHeight="true" outlineLevel="0" collapsed="false">
      <c r="A20" s="7" t="n">
        <v>13</v>
      </c>
      <c r="B20" s="8" t="s">
        <v>19</v>
      </c>
      <c r="C20" s="8" t="s">
        <v>45</v>
      </c>
      <c r="D20" s="12" t="s">
        <v>25</v>
      </c>
      <c r="E20" s="10"/>
      <c r="F20" s="10"/>
      <c r="G20" s="11" t="s">
        <v>22</v>
      </c>
      <c r="H20" s="8" t="s">
        <v>46</v>
      </c>
      <c r="I20" s="8"/>
    </row>
    <row r="21" customFormat="false" ht="31.5" hidden="false" customHeight="true" outlineLevel="0" collapsed="false">
      <c r="A21" s="7" t="n">
        <v>14</v>
      </c>
      <c r="B21" s="8" t="s">
        <v>19</v>
      </c>
      <c r="C21" s="8" t="s">
        <v>47</v>
      </c>
      <c r="D21" s="9" t="s">
        <v>21</v>
      </c>
      <c r="E21" s="10"/>
      <c r="F21" s="10"/>
      <c r="G21" s="11" t="s">
        <v>22</v>
      </c>
      <c r="H21" s="8" t="s">
        <v>48</v>
      </c>
      <c r="I21" s="8"/>
    </row>
    <row r="22" customFormat="false" ht="31.5" hidden="false" customHeight="true" outlineLevel="0" collapsed="false">
      <c r="A22" s="7" t="n">
        <v>15</v>
      </c>
      <c r="B22" s="8" t="s">
        <v>19</v>
      </c>
      <c r="C22" s="8" t="s">
        <v>49</v>
      </c>
      <c r="D22" s="9" t="s">
        <v>21</v>
      </c>
      <c r="E22" s="10"/>
      <c r="F22" s="10"/>
      <c r="G22" s="11" t="s">
        <v>22</v>
      </c>
      <c r="H22" s="8" t="s">
        <v>50</v>
      </c>
      <c r="I22" s="8"/>
    </row>
    <row r="23" customFormat="false" ht="31.5" hidden="false" customHeight="true" outlineLevel="0" collapsed="false">
      <c r="A23" s="7" t="n">
        <v>16</v>
      </c>
      <c r="B23" s="8" t="s">
        <v>19</v>
      </c>
      <c r="C23" s="8" t="s">
        <v>51</v>
      </c>
      <c r="D23" s="9" t="s">
        <v>21</v>
      </c>
      <c r="E23" s="10"/>
      <c r="F23" s="10"/>
      <c r="G23" s="11" t="s">
        <v>22</v>
      </c>
      <c r="H23" s="8" t="s">
        <v>52</v>
      </c>
      <c r="I23" s="8"/>
    </row>
    <row r="24" customFormat="false" ht="31.5" hidden="false" customHeight="true" outlineLevel="0" collapsed="false">
      <c r="A24" s="7" t="n">
        <v>17</v>
      </c>
      <c r="B24" s="8" t="s">
        <v>19</v>
      </c>
      <c r="C24" s="8" t="s">
        <v>45</v>
      </c>
      <c r="D24" s="12" t="s">
        <v>25</v>
      </c>
      <c r="E24" s="10"/>
      <c r="F24" s="10"/>
      <c r="G24" s="11" t="s">
        <v>22</v>
      </c>
      <c r="H24" s="8" t="s">
        <v>53</v>
      </c>
      <c r="I24" s="8"/>
    </row>
    <row r="25" customFormat="false" ht="31.5" hidden="false" customHeight="true" outlineLevel="0" collapsed="false">
      <c r="A25" s="7" t="n">
        <v>18</v>
      </c>
      <c r="B25" s="8" t="s">
        <v>19</v>
      </c>
      <c r="C25" s="8" t="s">
        <v>45</v>
      </c>
      <c r="D25" s="13" t="s">
        <v>54</v>
      </c>
      <c r="E25" s="10"/>
      <c r="F25" s="10"/>
      <c r="G25" s="11" t="s">
        <v>22</v>
      </c>
      <c r="H25" s="8" t="s">
        <v>55</v>
      </c>
      <c r="I25" s="8"/>
    </row>
    <row r="26" customFormat="false" ht="31.5" hidden="false" customHeight="true" outlineLevel="0" collapsed="false">
      <c r="A26" s="7" t="n">
        <v>19</v>
      </c>
      <c r="B26" s="8" t="s">
        <v>56</v>
      </c>
      <c r="C26" s="8" t="s">
        <v>41</v>
      </c>
      <c r="D26" s="12" t="s">
        <v>25</v>
      </c>
      <c r="E26" s="10"/>
      <c r="F26" s="10"/>
      <c r="G26" s="11" t="s">
        <v>22</v>
      </c>
      <c r="H26" s="8" t="s">
        <v>57</v>
      </c>
      <c r="I26" s="8"/>
    </row>
    <row r="27" customFormat="false" ht="31.5" hidden="false" customHeight="true" outlineLevel="0" collapsed="false">
      <c r="A27" s="7" t="n">
        <v>20</v>
      </c>
      <c r="B27" s="8" t="s">
        <v>36</v>
      </c>
      <c r="C27" s="8" t="s">
        <v>37</v>
      </c>
      <c r="D27" s="9" t="s">
        <v>21</v>
      </c>
      <c r="E27" s="10"/>
      <c r="F27" s="10"/>
      <c r="G27" s="11" t="s">
        <v>22</v>
      </c>
      <c r="H27" s="8" t="s">
        <v>58</v>
      </c>
      <c r="I27" s="8"/>
    </row>
    <row r="28" customFormat="false" ht="31.5" hidden="false" customHeight="true" outlineLevel="0" collapsed="false">
      <c r="A28" s="7" t="n">
        <v>21</v>
      </c>
      <c r="B28" s="8" t="s">
        <v>19</v>
      </c>
      <c r="C28" s="8" t="s">
        <v>59</v>
      </c>
      <c r="D28" s="9" t="s">
        <v>21</v>
      </c>
      <c r="E28" s="10"/>
      <c r="F28" s="10"/>
      <c r="G28" s="11" t="s">
        <v>22</v>
      </c>
      <c r="H28" s="8" t="s">
        <v>60</v>
      </c>
      <c r="I28" s="8"/>
    </row>
    <row r="29" customFormat="false" ht="31.5" hidden="false" customHeight="true" outlineLevel="0" collapsed="false">
      <c r="A29" s="7" t="n">
        <v>22</v>
      </c>
      <c r="B29" s="8" t="s">
        <v>36</v>
      </c>
      <c r="C29" s="8" t="s">
        <v>61</v>
      </c>
      <c r="D29" s="12" t="s">
        <v>25</v>
      </c>
      <c r="E29" s="10"/>
      <c r="F29" s="10"/>
      <c r="G29" s="11" t="s">
        <v>22</v>
      </c>
      <c r="H29" s="8" t="s">
        <v>62</v>
      </c>
      <c r="I29" s="8"/>
    </row>
    <row r="30" customFormat="false" ht="31.5" hidden="false" customHeight="true" outlineLevel="0" collapsed="false">
      <c r="A30" s="7" t="n">
        <v>23</v>
      </c>
      <c r="B30" s="8" t="s">
        <v>19</v>
      </c>
      <c r="C30" s="8" t="s">
        <v>43</v>
      </c>
      <c r="D30" s="12" t="s">
        <v>25</v>
      </c>
      <c r="E30" s="10"/>
      <c r="F30" s="10"/>
      <c r="G30" s="11" t="s">
        <v>22</v>
      </c>
      <c r="H30" s="8" t="s">
        <v>63</v>
      </c>
      <c r="I30" s="8"/>
    </row>
    <row r="31" customFormat="false" ht="31.5" hidden="false" customHeight="true" outlineLevel="0" collapsed="false">
      <c r="A31" s="7" t="n">
        <v>24</v>
      </c>
      <c r="B31" s="8" t="s">
        <v>56</v>
      </c>
      <c r="C31" s="8" t="s">
        <v>41</v>
      </c>
      <c r="D31" s="12" t="s">
        <v>25</v>
      </c>
      <c r="E31" s="10"/>
      <c r="F31" s="8" t="s">
        <v>64</v>
      </c>
      <c r="G31" s="11" t="s">
        <v>22</v>
      </c>
      <c r="H31" s="8" t="s">
        <v>65</v>
      </c>
      <c r="I31" s="8"/>
    </row>
    <row r="32" customFormat="false" ht="31.5" hidden="false" customHeight="true" outlineLevel="0" collapsed="false">
      <c r="A32" s="7" t="n">
        <v>25</v>
      </c>
      <c r="B32" s="8" t="s">
        <v>56</v>
      </c>
      <c r="C32" s="8" t="s">
        <v>41</v>
      </c>
      <c r="D32" s="12" t="s">
        <v>25</v>
      </c>
      <c r="E32" s="10"/>
      <c r="F32" s="10"/>
      <c r="G32" s="11" t="s">
        <v>22</v>
      </c>
      <c r="H32" s="8" t="s">
        <v>66</v>
      </c>
      <c r="I32" s="8"/>
    </row>
    <row r="33" customFormat="false" ht="31.5" hidden="false" customHeight="true" outlineLevel="0" collapsed="false">
      <c r="A33" s="7" t="n">
        <v>26</v>
      </c>
      <c r="B33" s="8" t="s">
        <v>19</v>
      </c>
      <c r="C33" s="8" t="s">
        <v>67</v>
      </c>
      <c r="D33" s="12" t="s">
        <v>25</v>
      </c>
      <c r="E33" s="10"/>
      <c r="F33" s="10"/>
      <c r="G33" s="11" t="s">
        <v>22</v>
      </c>
      <c r="H33" s="8" t="s">
        <v>68</v>
      </c>
      <c r="I33" s="8" t="s">
        <v>69</v>
      </c>
    </row>
    <row r="34" customFormat="false" ht="31.5" hidden="false" customHeight="true" outlineLevel="0" collapsed="false">
      <c r="A34" s="7" t="n">
        <v>27</v>
      </c>
      <c r="B34" s="8" t="s">
        <v>19</v>
      </c>
      <c r="C34" s="8" t="s">
        <v>67</v>
      </c>
      <c r="D34" s="12" t="s">
        <v>25</v>
      </c>
      <c r="E34" s="10"/>
      <c r="F34" s="10"/>
      <c r="G34" s="11" t="s">
        <v>22</v>
      </c>
      <c r="H34" s="8" t="s">
        <v>70</v>
      </c>
      <c r="I34" s="8"/>
    </row>
    <row r="35" customFormat="false" ht="31.5" hidden="false" customHeight="true" outlineLevel="0" collapsed="false">
      <c r="A35" s="7" t="n">
        <v>28</v>
      </c>
      <c r="B35" s="8" t="s">
        <v>56</v>
      </c>
      <c r="C35" s="8" t="s">
        <v>41</v>
      </c>
      <c r="D35" s="13" t="s">
        <v>54</v>
      </c>
      <c r="E35" s="10"/>
      <c r="F35" s="10"/>
      <c r="G35" s="11" t="s">
        <v>22</v>
      </c>
      <c r="H35" s="8" t="s">
        <v>71</v>
      </c>
      <c r="I35" s="8"/>
    </row>
    <row r="36" customFormat="false" ht="31.5" hidden="false" customHeight="true" outlineLevel="0" collapsed="false">
      <c r="A36" s="7" t="n">
        <v>29</v>
      </c>
      <c r="B36" s="8" t="s">
        <v>72</v>
      </c>
      <c r="C36" s="8" t="s">
        <v>72</v>
      </c>
      <c r="D36" s="12" t="s">
        <v>25</v>
      </c>
      <c r="E36" s="10"/>
      <c r="F36" s="10"/>
      <c r="G36" s="11" t="s">
        <v>22</v>
      </c>
      <c r="H36" s="8" t="s">
        <v>73</v>
      </c>
      <c r="I36" s="8"/>
    </row>
  </sheetData>
  <autoFilter ref="A7:I36"/>
  <mergeCells count="3">
    <mergeCell ref="A1:I1"/>
    <mergeCell ref="A2:I2"/>
    <mergeCell ref="H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2026-09-21T13:06:01Z</dcterms:created>
  <dc:creator>openpyxl</dc:creator>
  <dc:description/>
  <dc:language>en-US</dc:language>
  <cp:lastModifiedBy/>
  <dcterms:modified xsi:type="dcterms:W3CDTF">2026-09-21T13:06:01Z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